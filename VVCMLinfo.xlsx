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quences_HDR" sheetId="1" state="visible" r:id="rId2"/>
    <sheet name="Sequences_SD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<sst xmlns="http://schemas.openxmlformats.org/spreadsheetml/2006/main" count="44" uniqueCount="19">
  <si>
    <t xml:space="preserve">Sequence</t>
  </si>
  <si>
    <t xml:space="preserve">QP_L0</t>
  </si>
  <si>
    <t xml:space="preserve">QP_inc</t>
  </si>
  <si>
    <t xml:space="preserve">QP_L1</t>
  </si>
  <si>
    <t xml:space="preserve">bitrate_L0</t>
  </si>
  <si>
    <t xml:space="preserve">bitrate_L1</t>
  </si>
  <si>
    <t xml:space="preserve">bitrate_total</t>
  </si>
  <si>
    <t xml:space="preserve">PSNR_Y</t>
  </si>
  <si>
    <t xml:space="preserve">PSNR_U</t>
  </si>
  <si>
    <t xml:space="preserve">PSNR_V</t>
  </si>
  <si>
    <t xml:space="preserve">framerate</t>
  </si>
  <si>
    <t xml:space="preserve">framenumber</t>
  </si>
  <si>
    <t xml:space="preserve">total filesize in bytes</t>
  </si>
  <si>
    <t xml:space="preserve">cross-check</t>
  </si>
  <si>
    <t xml:space="preserve">H2_WalkInPark</t>
  </si>
  <si>
    <t xml:space="preserve">H2_H3_AMS05</t>
  </si>
  <si>
    <t xml:space="preserve">Cross-check</t>
  </si>
  <si>
    <t xml:space="preserve">ZombieClimbing2</t>
  </si>
  <si>
    <t xml:space="preserve">Procession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</si>
</sst>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12.671875" defaultRowHeight="15" zeroHeight="false" outlineLevelRow="0" outlineLevelCol="0"/>
  <cols>
    <col collapsed="false" customWidth="true" hidden="false" outlineLevel="0" max="1" min="1" style="0" width="50.17"/>
    <col collapsed="false" customWidth="true" hidden="false" outlineLevel="0" max="2" min="2" style="0" width="6.61"/>
    <col collapsed="false" customWidth="true" hidden="true" outlineLevel="0" max="3" min="3" style="0" width="4.79"/>
    <col collapsed="false" customWidth="true" hidden="false" outlineLevel="0" max="4" min="4" style="0" width="5.75"/>
    <col collapsed="false" customWidth="true" hidden="true" outlineLevel="0" max="6" min="5" style="0" width="12.51"/>
    <col collapsed="false" customWidth="true" hidden="false" outlineLevel="0" max="7" min="7" style="0" width="13.48"/>
    <col collapsed="false" customWidth="true" hidden="false" outlineLevel="0" max="8" min="8" style="0" width="10.05"/>
    <col collapsed="false" customWidth="true" hidden="false" outlineLevel="0" max="9" min="9" style="0" width="10.29"/>
    <col collapsed="false" customWidth="true" hidden="false" outlineLevel="0" max="10" min="10" style="0" width="8.94"/>
    <col collapsed="false" customWidth="true" hidden="false" outlineLevel="0" max="11" min="11" style="0" width="9.92"/>
    <col collapsed="false" customWidth="true" hidden="false" outlineLevel="0" max="12" min="12" style="0" width="13.97"/>
    <col collapsed="false" customWidth="true" hidden="false" outlineLevel="0" max="13" min="13" style="0" width="18.38"/>
    <col collapsed="false" customWidth="true" hidden="false" outlineLevel="0" max="14" min="14" style="1" width="10.67"/>
    <col collapsed="false" customWidth="true" hidden="false" outlineLevel="0" max="18" min="15" style="0" width="10.67"/>
    <col collapsed="false" customWidth="true" hidden="false" outlineLevel="0" max="30" min="19" style="0" width="8.67"/>
  </cols>
  <sheetData>
    <row r="1" customFormat="false" ht="15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</row>
    <row r="2" customFormat="false" ht="15.75" hidden="false" customHeight="true" outlineLevel="0" collapsed="false">
      <c r="A2" s="0" t="s">
        <v>14</v>
      </c>
      <c r="B2" s="0" t="n">
        <v>27</v>
      </c>
      <c r="C2" s="0" t="n">
        <v>4</v>
      </c>
      <c r="D2" s="0" t="n">
        <f aca="false">B2+C2</f>
        <v>31</v>
      </c>
      <c r="E2" s="0" t="n">
        <v>9550.8968</v>
      </c>
      <c r="F2" s="0" t="n">
        <v>5083.9056</v>
      </c>
      <c r="G2" s="0" t="n">
        <f aca="false">E2+F2</f>
        <v>14634.8024</v>
      </c>
      <c r="H2" s="0" t="n">
        <v>37.0098</v>
      </c>
      <c r="I2" s="0" t="n">
        <v>39.727</v>
      </c>
      <c r="J2" s="0" t="n">
        <v>39.7725</v>
      </c>
      <c r="K2" s="0" t="n">
        <v>60</v>
      </c>
      <c r="L2" s="0" t="n">
        <v>600</v>
      </c>
      <c r="M2" s="0" t="n">
        <v>18293503</v>
      </c>
      <c r="N2" s="1" t="n">
        <f aca="false">M2/L2/1000*K2*8</f>
        <v>14634.8024</v>
      </c>
    </row>
    <row r="3" customFormat="false" ht="15.75" hidden="false" customHeight="true" outlineLevel="0" collapsed="false">
      <c r="A3" s="0" t="s">
        <v>14</v>
      </c>
      <c r="B3" s="0" t="n">
        <v>32</v>
      </c>
      <c r="C3" s="0" t="n">
        <v>4</v>
      </c>
      <c r="D3" s="0" t="n">
        <f aca="false">B3+C3</f>
        <v>36</v>
      </c>
      <c r="E3" s="0" t="n">
        <v>4493.7768</v>
      </c>
      <c r="F3" s="0" t="n">
        <v>2343.048</v>
      </c>
      <c r="G3" s="0" t="n">
        <f aca="false">E3+F3</f>
        <v>6836.8248</v>
      </c>
      <c r="H3" s="0" t="n">
        <v>34.3492</v>
      </c>
      <c r="I3" s="0" t="n">
        <v>38.4622</v>
      </c>
      <c r="J3" s="0" t="n">
        <v>38.7568</v>
      </c>
      <c r="K3" s="0" t="n">
        <v>60</v>
      </c>
      <c r="L3" s="0" t="n">
        <v>600</v>
      </c>
      <c r="M3" s="0" t="n">
        <v>8546031</v>
      </c>
      <c r="N3" s="1" t="n">
        <f aca="false">M3/L3/1000*K3*8</f>
        <v>6836.8248</v>
      </c>
    </row>
    <row r="4" customFormat="false" ht="15.75" hidden="false" customHeight="true" outlineLevel="0" collapsed="false">
      <c r="A4" s="0" t="s">
        <v>14</v>
      </c>
      <c r="B4" s="0" t="n">
        <v>37</v>
      </c>
      <c r="C4" s="0" t="n">
        <v>4</v>
      </c>
      <c r="D4" s="0" t="n">
        <f aca="false">B4+C4</f>
        <v>41</v>
      </c>
      <c r="E4" s="0" t="n">
        <v>2048.2336</v>
      </c>
      <c r="F4" s="0" t="n">
        <v>1163.2152</v>
      </c>
      <c r="G4" s="0" t="n">
        <f aca="false">E4+F4</f>
        <v>3211.4488</v>
      </c>
      <c r="H4" s="0" t="n">
        <v>31.7665</v>
      </c>
      <c r="I4" s="0" t="n">
        <v>37.1833</v>
      </c>
      <c r="J4" s="0" t="n">
        <v>37.3181</v>
      </c>
      <c r="K4" s="0" t="n">
        <v>60</v>
      </c>
      <c r="L4" s="0" t="n">
        <v>600</v>
      </c>
      <c r="M4" s="0" t="n">
        <v>4014311</v>
      </c>
      <c r="N4" s="1" t="n">
        <f aca="false">M4/L4/1000*K4*8</f>
        <v>3211.4488</v>
      </c>
    </row>
    <row r="5" customFormat="false" ht="15.75" hidden="false" customHeight="true" outlineLevel="0" collapsed="false">
      <c r="A5" s="0" t="s">
        <v>14</v>
      </c>
      <c r="B5" s="0" t="n">
        <v>42</v>
      </c>
      <c r="C5" s="0" t="n">
        <v>4</v>
      </c>
      <c r="D5" s="0" t="n">
        <f aca="false">B5+C5</f>
        <v>46</v>
      </c>
      <c r="E5" s="0" t="n">
        <v>905.1416</v>
      </c>
      <c r="F5" s="0" t="n">
        <v>523.04</v>
      </c>
      <c r="G5" s="0" t="n">
        <f aca="false">E5+F5</f>
        <v>1428.1816</v>
      </c>
      <c r="H5" s="0" t="n">
        <v>29.2185</v>
      </c>
      <c r="I5" s="0" t="n">
        <v>36.1644</v>
      </c>
      <c r="J5" s="0" t="n">
        <v>36.5838</v>
      </c>
      <c r="K5" s="0" t="n">
        <v>60</v>
      </c>
      <c r="L5" s="0" t="n">
        <v>600</v>
      </c>
      <c r="M5" s="0" t="n">
        <v>1785227</v>
      </c>
      <c r="N5" s="1" t="n">
        <f aca="false">M5/L5/1000*K5*8</f>
        <v>1428.1816</v>
      </c>
    </row>
    <row r="6" customFormat="false" ht="15.75" hidden="false" customHeight="true" outlineLevel="0" collapsed="false">
      <c r="A6" s="0" t="s">
        <v>15</v>
      </c>
      <c r="B6" s="0" t="n">
        <v>27</v>
      </c>
      <c r="C6" s="0" t="n">
        <v>5</v>
      </c>
      <c r="D6" s="0" t="n">
        <f aca="false">B6+C6</f>
        <v>32</v>
      </c>
      <c r="E6" s="0" t="n">
        <v>9357.6832</v>
      </c>
      <c r="F6" s="0" t="n">
        <v>10061.16</v>
      </c>
      <c r="G6" s="0" t="n">
        <f aca="false">E6+F6</f>
        <v>19418.8432</v>
      </c>
      <c r="H6" s="0" t="n">
        <v>33.9285</v>
      </c>
      <c r="I6" s="0" t="n">
        <v>39.9673</v>
      </c>
      <c r="J6" s="0" t="n">
        <v>44.7248</v>
      </c>
      <c r="K6" s="0" t="n">
        <v>60</v>
      </c>
      <c r="L6" s="0" t="n">
        <v>600</v>
      </c>
      <c r="M6" s="0" t="n">
        <v>24273554</v>
      </c>
      <c r="N6" s="1" t="n">
        <f aca="false">M6/L6/1000*K6*8</f>
        <v>19418.8432</v>
      </c>
    </row>
    <row r="7" customFormat="false" ht="15.75" hidden="false" customHeight="true" outlineLevel="0" collapsed="false">
      <c r="A7" s="0" t="s">
        <v>15</v>
      </c>
      <c r="B7" s="0" t="n">
        <v>32</v>
      </c>
      <c r="C7" s="0" t="n">
        <v>5</v>
      </c>
      <c r="D7" s="0" t="n">
        <f aca="false">B7+C7</f>
        <v>37</v>
      </c>
      <c r="E7" s="0" t="n">
        <v>4288.3704</v>
      </c>
      <c r="F7" s="0" t="n">
        <v>3322.7928</v>
      </c>
      <c r="G7" s="0" t="n">
        <f aca="false">E7+F7</f>
        <v>7611.1632</v>
      </c>
      <c r="H7" s="0" t="n">
        <v>31.2728</v>
      </c>
      <c r="I7" s="0" t="n">
        <v>38.1129</v>
      </c>
      <c r="J7" s="0" t="n">
        <v>43.5479</v>
      </c>
      <c r="K7" s="0" t="n">
        <v>60</v>
      </c>
      <c r="L7" s="0" t="n">
        <v>600</v>
      </c>
      <c r="M7" s="0" t="n">
        <v>9513954</v>
      </c>
      <c r="N7" s="1" t="n">
        <f aca="false">M7/L7/1000*K7*8</f>
        <v>7611.1632</v>
      </c>
    </row>
    <row r="8" customFormat="false" ht="15.75" hidden="false" customHeight="true" outlineLevel="0" collapsed="false">
      <c r="A8" s="0" t="s">
        <v>15</v>
      </c>
      <c r="B8" s="0" t="n">
        <v>37</v>
      </c>
      <c r="C8" s="0" t="n">
        <v>5</v>
      </c>
      <c r="D8" s="0" t="n">
        <f aca="false">B8+C8</f>
        <v>42</v>
      </c>
      <c r="E8" s="0" t="n">
        <v>1906.7568</v>
      </c>
      <c r="F8" s="0" t="n">
        <v>1148.5136</v>
      </c>
      <c r="G8" s="0" t="n">
        <f aca="false">E8+F8</f>
        <v>3055.2704</v>
      </c>
      <c r="H8" s="0" t="n">
        <v>28.9422</v>
      </c>
      <c r="I8" s="0" t="n">
        <v>37.1912</v>
      </c>
      <c r="J8" s="0" t="n">
        <v>42.7072</v>
      </c>
      <c r="K8" s="0" t="n">
        <v>60</v>
      </c>
      <c r="L8" s="0" t="n">
        <v>600</v>
      </c>
      <c r="M8" s="0" t="n">
        <v>3819088</v>
      </c>
      <c r="N8" s="1" t="n">
        <f aca="false">M8/L8/1000*K8*8</f>
        <v>3055.2704</v>
      </c>
    </row>
    <row r="9" customFormat="false" ht="15.75" hidden="false" customHeight="true" outlineLevel="0" collapsed="false">
      <c r="A9" s="0" t="s">
        <v>15</v>
      </c>
      <c r="B9" s="0" t="n">
        <v>42</v>
      </c>
      <c r="C9" s="0" t="n">
        <v>5</v>
      </c>
      <c r="D9" s="0" t="n">
        <f aca="false">B9+C9</f>
        <v>47</v>
      </c>
      <c r="E9" s="0" t="n">
        <v>829.1248</v>
      </c>
      <c r="F9" s="0" t="n">
        <v>320.7272</v>
      </c>
      <c r="G9" s="0" t="n">
        <f aca="false">E9+F9</f>
        <v>1149.852</v>
      </c>
      <c r="H9" s="0" t="n">
        <v>26.8267</v>
      </c>
      <c r="I9" s="0" t="n">
        <v>36.4959</v>
      </c>
      <c r="J9" s="0" t="n">
        <v>41.9953</v>
      </c>
      <c r="K9" s="0" t="n">
        <v>60</v>
      </c>
      <c r="L9" s="0" t="n">
        <v>600</v>
      </c>
      <c r="M9" s="0" t="n">
        <v>1437315</v>
      </c>
      <c r="N9" s="1" t="n">
        <f aca="false">M9/L9/1000*K9*8</f>
        <v>1149.852</v>
      </c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ColWidth="12.671875" defaultRowHeight="15" zeroHeight="false" outlineLevelRow="0" outlineLevelCol="0"/>
  <cols>
    <col collapsed="false" customWidth="true" hidden="false" outlineLevel="0" max="1" min="1" style="0" width="18.59"/>
    <col collapsed="false" customWidth="true" hidden="false" outlineLevel="0" max="2" min="2" style="0" width="6.61"/>
    <col collapsed="false" customWidth="true" hidden="false" outlineLevel="0" max="3" min="3" style="0" width="7.35"/>
    <col collapsed="false" customWidth="true" hidden="false" outlineLevel="0" max="4" min="4" style="0" width="5.75"/>
    <col collapsed="false" customWidth="true" hidden="true" outlineLevel="0" max="6" min="5" style="0" width="12.51"/>
    <col collapsed="false" customWidth="true" hidden="false" outlineLevel="0" max="7" min="7" style="0" width="13.48"/>
    <col collapsed="false" customWidth="true" hidden="false" outlineLevel="0" max="8" min="8" style="0" width="10.05"/>
    <col collapsed="false" customWidth="true" hidden="false" outlineLevel="0" max="9" min="9" style="0" width="10.29"/>
    <col collapsed="false" customWidth="true" hidden="false" outlineLevel="0" max="10" min="10" style="0" width="8.94"/>
    <col collapsed="false" customWidth="true" hidden="false" outlineLevel="0" max="11" min="11" style="0" width="9.92"/>
    <col collapsed="false" customWidth="true" hidden="false" outlineLevel="0" max="12" min="12" style="0" width="13.97"/>
    <col collapsed="false" customWidth="true" hidden="false" outlineLevel="0" max="13" min="13" style="0" width="18.38"/>
    <col collapsed="false" customWidth="true" hidden="false" outlineLevel="0" max="14" min="14" style="1" width="10.67"/>
    <col collapsed="false" customWidth="true" hidden="false" outlineLevel="0" max="18" min="15" style="0" width="10.67"/>
    <col collapsed="false" customWidth="true" hidden="false" outlineLevel="0" max="30" min="19" style="0" width="8.67"/>
  </cols>
  <sheetData>
    <row r="1" customFormat="false" ht="15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16</v>
      </c>
    </row>
    <row r="2" customFormat="false" ht="15.75" hidden="false" customHeight="true" outlineLevel="0" collapsed="false">
      <c r="A2" s="0" t="s">
        <v>17</v>
      </c>
      <c r="B2" s="0" t="n">
        <v>27</v>
      </c>
      <c r="C2" s="0" t="n">
        <v>4</v>
      </c>
      <c r="D2" s="0" t="n">
        <f aca="false">B2+C2</f>
        <v>31</v>
      </c>
      <c r="E2" s="0" t="n">
        <v>4669.8648</v>
      </c>
      <c r="F2" s="0" t="n">
        <v>2198.6048</v>
      </c>
      <c r="G2" s="0" t="n">
        <f aca="false">E2+F2</f>
        <v>6868.4696</v>
      </c>
      <c r="H2" s="0" t="n">
        <v>36.981</v>
      </c>
      <c r="I2" s="0" t="n">
        <v>40.0901</v>
      </c>
      <c r="J2" s="0" t="n">
        <v>42.1293</v>
      </c>
      <c r="K2" s="0" t="n">
        <v>24</v>
      </c>
      <c r="L2" s="0" t="n">
        <v>240</v>
      </c>
      <c r="M2" s="0" t="n">
        <v>8585587</v>
      </c>
      <c r="N2" s="1" t="n">
        <f aca="false">M2/L2/1000*K2*8</f>
        <v>6868.4696</v>
      </c>
    </row>
    <row r="3" customFormat="false" ht="15.75" hidden="false" customHeight="true" outlineLevel="0" collapsed="false">
      <c r="A3" s="0" t="s">
        <v>17</v>
      </c>
      <c r="B3" s="0" t="n">
        <v>32</v>
      </c>
      <c r="C3" s="0" t="n">
        <v>4</v>
      </c>
      <c r="D3" s="0" t="n">
        <f aca="false">B3+C3</f>
        <v>36</v>
      </c>
      <c r="E3" s="0" t="n">
        <v>2244.6184</v>
      </c>
      <c r="F3" s="0" t="n">
        <v>1031.0088</v>
      </c>
      <c r="G3" s="0" t="n">
        <f aca="false">E3+F3</f>
        <v>3275.6272</v>
      </c>
      <c r="H3" s="0" t="n">
        <v>34.4926</v>
      </c>
      <c r="I3" s="0" t="n">
        <v>38.661</v>
      </c>
      <c r="J3" s="0" t="n">
        <v>40.826</v>
      </c>
      <c r="K3" s="0" t="n">
        <v>24</v>
      </c>
      <c r="L3" s="0" t="n">
        <v>240</v>
      </c>
      <c r="M3" s="0" t="n">
        <v>4094534</v>
      </c>
      <c r="N3" s="1" t="n">
        <f aca="false">M3/L3/1000*K3*8</f>
        <v>3275.6272</v>
      </c>
    </row>
    <row r="4" customFormat="false" ht="15.75" hidden="false" customHeight="true" outlineLevel="0" collapsed="false">
      <c r="A4" s="0" t="s">
        <v>17</v>
      </c>
      <c r="B4" s="0" t="n">
        <v>37</v>
      </c>
      <c r="C4" s="0" t="n">
        <v>4</v>
      </c>
      <c r="D4" s="0" t="n">
        <f aca="false">B4+C4</f>
        <v>41</v>
      </c>
      <c r="E4" s="0" t="n">
        <v>1075.2712</v>
      </c>
      <c r="F4" s="0" t="n">
        <v>487.8808</v>
      </c>
      <c r="G4" s="0" t="n">
        <f aca="false">E4+F4</f>
        <v>1563.152</v>
      </c>
      <c r="H4" s="0" t="n">
        <v>31.9705</v>
      </c>
      <c r="I4" s="0" t="n">
        <v>37.1252</v>
      </c>
      <c r="J4" s="0" t="n">
        <v>39.3267</v>
      </c>
      <c r="K4" s="0" t="n">
        <v>24</v>
      </c>
      <c r="L4" s="0" t="n">
        <v>240</v>
      </c>
      <c r="M4" s="0" t="n">
        <v>1953940</v>
      </c>
      <c r="N4" s="1" t="n">
        <f aca="false">M4/L4/1000*K4*8</f>
        <v>1563.152</v>
      </c>
    </row>
    <row r="5" customFormat="false" ht="15.75" hidden="false" customHeight="true" outlineLevel="0" collapsed="false">
      <c r="A5" s="0" t="s">
        <v>17</v>
      </c>
      <c r="B5" s="0" t="n">
        <v>42</v>
      </c>
      <c r="C5" s="0" t="n">
        <v>4</v>
      </c>
      <c r="D5" s="0" t="n">
        <f aca="false">B5+C5</f>
        <v>46</v>
      </c>
      <c r="E5" s="0" t="n">
        <v>509.7264</v>
      </c>
      <c r="F5" s="0" t="n">
        <v>188.4688</v>
      </c>
      <c r="G5" s="0" t="n">
        <f aca="false">E5+F5</f>
        <v>698.1952</v>
      </c>
      <c r="H5" s="0" t="n">
        <v>29.4355</v>
      </c>
      <c r="I5" s="0" t="n">
        <v>36.0072</v>
      </c>
      <c r="J5" s="0" t="n">
        <v>38.1362</v>
      </c>
      <c r="K5" s="0" t="n">
        <v>24</v>
      </c>
      <c r="L5" s="0" t="n">
        <v>240</v>
      </c>
      <c r="M5" s="0" t="n">
        <v>872744</v>
      </c>
      <c r="N5" s="1" t="n">
        <f aca="false">M5/L5/1000*K5*8</f>
        <v>698.1952</v>
      </c>
    </row>
    <row r="6" customFormat="false" ht="15.75" hidden="false" customHeight="true" outlineLevel="0" collapsed="false">
      <c r="A6" s="0" t="s">
        <v>18</v>
      </c>
      <c r="B6" s="0" t="n">
        <v>25</v>
      </c>
      <c r="C6" s="0" t="n">
        <v>4</v>
      </c>
      <c r="D6" s="0" t="n">
        <f aca="false">B6+C6</f>
        <v>29</v>
      </c>
      <c r="E6" s="0" t="n">
        <v>6338.7808</v>
      </c>
      <c r="F6" s="0" t="n">
        <v>2767.956</v>
      </c>
      <c r="G6" s="0" t="n">
        <f aca="false">E6+F6</f>
        <v>9106.7368</v>
      </c>
      <c r="H6" s="0" t="n">
        <v>40.7337</v>
      </c>
      <c r="I6" s="0" t="n">
        <v>44.4273</v>
      </c>
      <c r="J6" s="0" t="n">
        <v>46.2671</v>
      </c>
      <c r="K6" s="0" t="n">
        <v>60</v>
      </c>
      <c r="L6" s="0" t="n">
        <v>600</v>
      </c>
      <c r="M6" s="0" t="n">
        <v>11383421</v>
      </c>
      <c r="N6" s="1" t="n">
        <f aca="false">M6/L6/1000*K6*8</f>
        <v>9106.7368</v>
      </c>
    </row>
    <row r="7" customFormat="false" ht="15.75" hidden="false" customHeight="true" outlineLevel="0" collapsed="false">
      <c r="A7" s="0" t="s">
        <v>18</v>
      </c>
      <c r="B7" s="0" t="n">
        <v>30</v>
      </c>
      <c r="C7" s="0" t="n">
        <v>4</v>
      </c>
      <c r="D7" s="0" t="n">
        <f aca="false">B7+C7</f>
        <v>34</v>
      </c>
      <c r="E7" s="0" t="n">
        <v>3170.7384</v>
      </c>
      <c r="F7" s="0" t="n">
        <v>1046.4488</v>
      </c>
      <c r="G7" s="0" t="n">
        <f aca="false">E7+F7</f>
        <v>4217.1872</v>
      </c>
      <c r="H7" s="0" t="n">
        <v>38.764</v>
      </c>
      <c r="I7" s="0" t="n">
        <v>42.8719</v>
      </c>
      <c r="J7" s="0" t="n">
        <v>44.4042</v>
      </c>
      <c r="K7" s="0" t="n">
        <v>60</v>
      </c>
      <c r="L7" s="0" t="n">
        <v>600</v>
      </c>
      <c r="M7" s="0" t="n">
        <v>5271484</v>
      </c>
      <c r="N7" s="1" t="n">
        <f aca="false">M7/L7/1000*K7*8</f>
        <v>4217.1872</v>
      </c>
    </row>
    <row r="8" customFormat="false" ht="15.75" hidden="false" customHeight="true" outlineLevel="0" collapsed="false">
      <c r="A8" s="0" t="s">
        <v>18</v>
      </c>
      <c r="B8" s="0" t="n">
        <v>35</v>
      </c>
      <c r="C8" s="0" t="n">
        <v>4</v>
      </c>
      <c r="D8" s="0" t="n">
        <f aca="false">B8+C8</f>
        <v>39</v>
      </c>
      <c r="E8" s="0" t="n">
        <v>1620.5416</v>
      </c>
      <c r="F8" s="0" t="n">
        <v>476.196</v>
      </c>
      <c r="G8" s="0" t="n">
        <f aca="false">E8+F8</f>
        <v>2096.7376</v>
      </c>
      <c r="H8" s="0" t="n">
        <v>36.5243</v>
      </c>
      <c r="I8" s="0" t="n">
        <v>41.1987</v>
      </c>
      <c r="J8" s="0" t="n">
        <v>42.469</v>
      </c>
      <c r="K8" s="0" t="n">
        <v>60</v>
      </c>
      <c r="L8" s="0" t="n">
        <v>600</v>
      </c>
      <c r="M8" s="0" t="n">
        <v>2620922</v>
      </c>
      <c r="N8" s="1" t="n">
        <f aca="false">M8/L8/1000*K8*8</f>
        <v>2096.7376</v>
      </c>
    </row>
    <row r="9" customFormat="false" ht="15.75" hidden="false" customHeight="true" outlineLevel="0" collapsed="false">
      <c r="A9" s="0" t="s">
        <v>18</v>
      </c>
      <c r="B9" s="0" t="n">
        <v>40</v>
      </c>
      <c r="C9" s="0" t="n">
        <v>4</v>
      </c>
      <c r="D9" s="0" t="n">
        <f aca="false">B9+C9</f>
        <v>44</v>
      </c>
      <c r="E9" s="0" t="n">
        <v>823.696</v>
      </c>
      <c r="F9" s="0" t="n">
        <v>230.6824</v>
      </c>
      <c r="G9" s="0" t="n">
        <f aca="false">E9+F9</f>
        <v>1054.3784</v>
      </c>
      <c r="H9" s="0" t="n">
        <v>34.0699</v>
      </c>
      <c r="I9" s="0" t="n">
        <v>39.6162</v>
      </c>
      <c r="J9" s="0" t="n">
        <v>40.6896</v>
      </c>
      <c r="K9" s="0" t="n">
        <v>60</v>
      </c>
      <c r="L9" s="0" t="n">
        <v>600</v>
      </c>
      <c r="M9" s="0" t="n">
        <v>1317973</v>
      </c>
      <c r="N9" s="1" t="n">
        <f aca="false">M9/L9/1000*K9*8</f>
        <v>1054.3784</v>
      </c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2026-05-04T17:20:43Z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